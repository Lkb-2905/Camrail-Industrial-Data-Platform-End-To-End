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projet CAMRAIL\"/>
    </mc:Choice>
  </mc:AlternateContent>
  <xr:revisionPtr revIDLastSave="0" documentId="8_{602EA5AD-4DA9-4F0B-ADB1-99CACB675F92}" xr6:coauthVersionLast="47" xr6:coauthVersionMax="47" xr10:uidLastSave="{00000000-0000-0000-0000-000000000000}"/>
  <bookViews>
    <workbookView xWindow="-108" yWindow="-108" windowWidth="23256" windowHeight="12456" activeTab="1" xr2:uid="{C094BAE5-3A69-4942-9532-73AFA9890FE4}"/>
  </bookViews>
  <sheets>
    <sheet name="Dashboard_Maintenance" sheetId="3" r:id="rId1"/>
    <sheet name="Donnees_Fusionnees" sheetId="2" r:id="rId2"/>
  </sheets>
  <definedNames>
    <definedName name="DonnéesExternes_1" localSheetId="1" hidden="1">Donnees_Fusionnees!$A$2:$J$9</definedName>
    <definedName name="Segment_loco_id">#N/A</definedName>
    <definedName name="Segment_status">#N/A</definedName>
  </definedNames>
  <calcPr calcId="191029"/>
  <pivotCaches>
    <pivotCache cacheId="5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69FB0F-FB7E-4F54-A744-0E1023088437}" keepAlive="1" name="Requête - Donnees_Fusionnees" description="Connexion à la requête « Donnees_Fusionnees » dans le classeur." type="5" refreshedVersion="8" background="1" saveData="1">
    <dbPr connection="Provider=Microsoft.Mashup.OleDb.1;Data Source=$Workbook$;Location=Donnees_Fusionnees;Extended Properties=&quot;&quot;" command="SELECT * FROM [Donnees_Fusionnees]"/>
  </connection>
  <connection id="2" xr16:uid="{6D9FDDA0-1DED-4CD7-AED2-DE66390510F0}" keepAlive="1" name="Requête - maintenance" description="Connexion à la requête « maintenance » dans le classeur." type="5" refreshedVersion="0" background="1">
    <dbPr connection="Provider=Microsoft.Mashup.OleDb.1;Data Source=$Workbook$;Location=maintenance;Extended Properties=&quot;&quot;" command="SELECT * FROM [maintenance]"/>
  </connection>
  <connection id="3" xr16:uid="{281EC86B-348D-4EB8-989F-4197548FF9C9}" keepAlive="1" name="Requête - sensors" description="Connexion à la requête « sensors » dans le classeur." type="5" refreshedVersion="0" background="1">
    <dbPr connection="Provider=Microsoft.Mashup.OleDb.1;Data Source=$Workbook$;Location=sensors;Extended Properties=&quot;&quot;" command="SELECT * FROM [sensors]"/>
  </connection>
</connections>
</file>

<file path=xl/sharedStrings.xml><?xml version="1.0" encoding="utf-8"?>
<sst xmlns="http://schemas.openxmlformats.org/spreadsheetml/2006/main" count="47" uniqueCount="24">
  <si>
    <t>timestamp</t>
  </si>
  <si>
    <t>loco_id</t>
  </si>
  <si>
    <t>flow_rate</t>
  </si>
  <si>
    <t>pressure</t>
  </si>
  <si>
    <t>vibration</t>
  </si>
  <si>
    <t>temperature</t>
  </si>
  <si>
    <t>loco_id.1</t>
  </si>
  <si>
    <t>last_maintenance</t>
  </si>
  <si>
    <t>failure_type</t>
  </si>
  <si>
    <t>status</t>
  </si>
  <si>
    <t>LOCO_001</t>
  </si>
  <si>
    <t>None</t>
  </si>
  <si>
    <t>Active</t>
  </si>
  <si>
    <t>LOCO_002</t>
  </si>
  <si>
    <t>Hydraulic Leak</t>
  </si>
  <si>
    <t>LOCO_003</t>
  </si>
  <si>
    <t>Overheating</t>
  </si>
  <si>
    <t>Under Repair</t>
  </si>
  <si>
    <t>Étiquettes de colonnes</t>
  </si>
  <si>
    <t>Total général</t>
  </si>
  <si>
    <t>Étiquettes de lignes</t>
  </si>
  <si>
    <t>Somme de temperature</t>
  </si>
  <si>
    <t>Dashboard : Suivi Thermique et Détection d'Anomalies</t>
  </si>
  <si>
    <t>Pipeline de Données : Base Capteurs &amp; Historique Pannes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</si>
</sst>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8" xfId="0" applyBorder="1"/>
    <xf numFmtId="0" fontId="0" fillId="0" borderId="9" xfId="0" applyBorder="1"/>
    <xf numFmtId="22" fontId="0" fillId="0" borderId="1" xfId="0" applyNumberFormat="1" applyBorder="1" applyAlignment="1">
      <alignment horizontal="left"/>
    </xf>
    <xf numFmtId="22" fontId="0" fillId="0" borderId="4" xfId="0" applyNumberFormat="1" applyBorder="1" applyAlignment="1">
      <alignment horizontal="left"/>
    </xf>
    <xf numFmtId="22" fontId="0" fillId="0" borderId="5" xfId="0" applyNumberFormat="1" applyBorder="1" applyAlignment="1">
      <alignment horizontal="left"/>
    </xf>
    <xf numFmtId="0" fontId="0" fillId="0" borderId="1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4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[Classeur1.xlsx]Dashboard_Maintenance!Tableau croisé dynamique1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Dashboard_Maintenance!$B$3:$B$4</c:f>
              <c:strCache>
                <c:ptCount val="1"/>
                <c:pt idx="0">
                  <c:v>LOCO_001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Dashboard_Maintenance!$A$5:$A$8</c:f>
              <c:strCache>
                <c:ptCount val="3"/>
                <c:pt idx="0">
                  <c:v>22/02/2026 08:00</c:v>
                </c:pt>
                <c:pt idx="1">
                  <c:v>22/02/2026 08:15</c:v>
                </c:pt>
                <c:pt idx="2">
                  <c:v>22/02/2026 08:30</c:v>
                </c:pt>
              </c:strCache>
            </c:strRef>
          </c:cat>
          <c:val>
            <c:numRef>
              <c:f>Dashboard_Maintenance!$B$5:$B$8</c:f>
              <c:numCache>
                <c:formatCode>General</c:formatCode>
                <c:ptCount val="3"/>
                <c:pt idx="0">
                  <c:v>45.2</c:v>
                </c:pt>
                <c:pt idx="1">
                  <c:v>45.5</c:v>
                </c:pt>
                <c:pt idx="2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C-4D8A-89CC-439F5ABCB7AD}"/>
            </c:ext>
          </c:extLst>
        </c:ser>
        <c:ser>
          <c:idx val="1"/>
          <c:order val="1"/>
          <c:tx>
            <c:strRef>
              <c:f>Dashboard_Maintenance!$C$3:$C$4</c:f>
              <c:strCache>
                <c:ptCount val="1"/>
                <c:pt idx="0">
                  <c:v>LOCO_002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Dashboard_Maintenance!$A$5:$A$8</c:f>
              <c:strCache>
                <c:ptCount val="3"/>
                <c:pt idx="0">
                  <c:v>22/02/2026 08:00</c:v>
                </c:pt>
                <c:pt idx="1">
                  <c:v>22/02/2026 08:15</c:v>
                </c:pt>
                <c:pt idx="2">
                  <c:v>22/02/2026 08:30</c:v>
                </c:pt>
              </c:strCache>
            </c:strRef>
          </c:cat>
          <c:val>
            <c:numRef>
              <c:f>Dashboard_Maintenance!$C$5:$C$8</c:f>
              <c:numCache>
                <c:formatCode>General</c:formatCode>
                <c:ptCount val="3"/>
                <c:pt idx="0">
                  <c:v>44.1</c:v>
                </c:pt>
                <c:pt idx="1">
                  <c:v>44.3</c:v>
                </c:pt>
                <c:pt idx="2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6C-4D8A-89CC-439F5ABCB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833376"/>
        <c:axId val="690832896"/>
      </c:lineChart>
      <c:catAx>
        <c:axId val="69083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0832896"/>
        <c:crosses val="autoZero"/>
        <c:auto val="1"/>
        <c:lblAlgn val="ctr"/>
        <c:lblOffset val="100"/>
        <c:noMultiLvlLbl val="0"/>
      </c:catAx>
      <c:valAx>
        <c:axId val="6908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083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8</xdr:row>
      <xdr:rowOff>95250</xdr:rowOff>
    </xdr:from>
    <xdr:to>
      <xdr:col>4</xdr:col>
      <xdr:colOff>655320</xdr:colOff>
      <xdr:row>23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6E619C3-3B81-F79C-4E9B-8425E1892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678180</xdr:colOff>
      <xdr:row>8</xdr:row>
      <xdr:rowOff>99060</xdr:rowOff>
    </xdr:from>
    <xdr:to>
      <xdr:col>7</xdr:col>
      <xdr:colOff>152400</xdr:colOff>
      <xdr:row>22</xdr:row>
      <xdr:rowOff>120015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loco_id">
              <a:extLst>
                <a:ext uri="{FF2B5EF4-FFF2-40B4-BE49-F238E27FC236}">
                  <a16:creationId xmlns:a16="http://schemas.microsoft.com/office/drawing/2014/main" id="{C60AF7AB-8835-4413-0274-4BFA98A04D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o_i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0140" y="160782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175260</xdr:colOff>
      <xdr:row>8</xdr:row>
      <xdr:rowOff>91440</xdr:rowOff>
    </xdr:from>
    <xdr:to>
      <xdr:col>9</xdr:col>
      <xdr:colOff>419100</xdr:colOff>
      <xdr:row>22</xdr:row>
      <xdr:rowOff>112395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tatus">
              <a:extLst>
                <a:ext uri="{FF2B5EF4-FFF2-40B4-BE49-F238E27FC236}">
                  <a16:creationId xmlns:a16="http://schemas.microsoft.com/office/drawing/2014/main" id="{FD21C0F1-62B7-BD77-9BC3-8E30D6C32D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81800" y="16002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0.401678935188" createdVersion="8" refreshedVersion="8" minRefreshableVersion="3" recordCount="7" xr:uid="{AD0771E8-21A4-4714-B3A5-405FFB028B76}">
  <cacheSource type="worksheet">
    <worksheetSource name="Donnees_Fusionnees"/>
  </cacheSource>
  <cacheFields count="10">
    <cacheField name="timestamp" numFmtId="22">
      <sharedItems containsSemiMixedTypes="0" containsNonDate="0" containsDate="1" containsString="0" minDate="2026-02-22T08:00:00" maxDate="2026-02-22T08:30:00" count="3">
        <d v="2026-02-22T08:00:00"/>
        <d v="2026-02-22T08:15:00"/>
        <d v="2026-02-22T08:30:00"/>
      </sharedItems>
    </cacheField>
    <cacheField name="loco_id" numFmtId="0">
      <sharedItems count="3">
        <s v="LOCO_001"/>
        <s v="LOCO_002"/>
        <s v="LOCO_003"/>
      </sharedItems>
    </cacheField>
    <cacheField name="flow_rate" numFmtId="0">
      <sharedItems containsSemiMixedTypes="0" containsString="0" containsNumber="1" minValue="400.2" maxValue="512.1"/>
    </cacheField>
    <cacheField name="pressure" numFmtId="0">
      <sharedItems containsSemiMixedTypes="0" containsString="0" containsNumber="1" minValue="3.2" maxValue="5.2"/>
    </cacheField>
    <cacheField name="vibration" numFmtId="0">
      <sharedItems containsSemiMixedTypes="0" containsString="0" containsNumber="1" minValue="1.9" maxValue="5.5"/>
    </cacheField>
    <cacheField name="temperature" numFmtId="0">
      <sharedItems containsSemiMixedTypes="0" containsString="0" containsNumber="1" minValue="44" maxValue="65.8"/>
    </cacheField>
    <cacheField name="loco_id.1" numFmtId="0">
      <sharedItems/>
    </cacheField>
    <cacheField name="last_maintenance" numFmtId="14">
      <sharedItems containsSemiMixedTypes="0" containsNonDate="0" containsDate="1" containsString="0" minDate="2025-11-20T00:00:00" maxDate="2026-02-11T00:00:00"/>
    </cacheField>
    <cacheField name="failure_type" numFmtId="0">
      <sharedItems/>
    </cacheField>
    <cacheField name="status" numFmtId="0">
      <sharedItems count="2">
        <s v="Active"/>
        <s v="Under Repair"/>
      </sharedItems>
    </cacheField>
  </cacheFields>
  <extLst>
    <ext xmlns:x14="http://schemas.microsoft.com/office/spreadsheetml/2009/9/main" uri="{725AE2AE-9491-48be-B2B4-4EB974FC3084}">
      <x14:pivotCacheDefinition pivotCacheId="19712639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498.5"/>
    <n v="5.0999999999999996"/>
    <n v="2"/>
    <n v="45.2"/>
    <s v="LOCO_001"/>
    <d v="2026-01-15T00:00:00"/>
    <s v="None"/>
    <x v="0"/>
  </r>
  <r>
    <x v="1"/>
    <x v="0"/>
    <n v="499"/>
    <n v="5"/>
    <n v="2.1"/>
    <n v="45.5"/>
    <s v="LOCO_001"/>
    <d v="2026-01-15T00:00:00"/>
    <s v="None"/>
    <x v="0"/>
  </r>
  <r>
    <x v="2"/>
    <x v="0"/>
    <n v="400.2"/>
    <n v="3.2"/>
    <n v="5.5"/>
    <n v="65.8"/>
    <s v="LOCO_001"/>
    <d v="2026-01-15T00:00:00"/>
    <s v="None"/>
    <x v="0"/>
  </r>
  <r>
    <x v="0"/>
    <x v="1"/>
    <n v="510.4"/>
    <n v="5.2"/>
    <n v="1.9"/>
    <n v="44.1"/>
    <s v="LOCO_002"/>
    <d v="2025-11-20T00:00:00"/>
    <s v="Hydraulic Leak"/>
    <x v="0"/>
  </r>
  <r>
    <x v="1"/>
    <x v="1"/>
    <n v="512.1"/>
    <n v="5.2"/>
    <n v="1.9"/>
    <n v="44.3"/>
    <s v="LOCO_002"/>
    <d v="2025-11-20T00:00:00"/>
    <s v="Hydraulic Leak"/>
    <x v="0"/>
  </r>
  <r>
    <x v="2"/>
    <x v="1"/>
    <n v="509.8"/>
    <n v="5.0999999999999996"/>
    <n v="2"/>
    <n v="44"/>
    <s v="LOCO_002"/>
    <d v="2025-11-20T00:00:00"/>
    <s v="Hydraulic Leak"/>
    <x v="0"/>
  </r>
  <r>
    <x v="0"/>
    <x v="2"/>
    <n v="485.6"/>
    <n v="4.9000000000000004"/>
    <n v="2.2000000000000002"/>
    <n v="46.1"/>
    <s v="LOCO_003"/>
    <d v="2026-02-10T00:00:00"/>
    <s v="Overheating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53EA4-A2AE-4642-ADCD-2B9DBAA2D208}" name="Tableau croisé dynamique1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10">
    <pivotField axis="axisRow" numFmtId="22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numFmtId="14" showAll="0"/>
    <pivotField showAll="0"/>
    <pivotField showAll="0">
      <items count="3">
        <item x="0"/>
        <item h="1"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omme de temperature" fld="5" baseField="0" baseItem="0"/>
  </dataFields>
  <chartFormats count="5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66240C8-14EE-464A-A710-623CED014283}" autoFormatId="16" applyNumberFormats="0" applyBorderFormats="0" applyFontFormats="0" applyPatternFormats="0" applyAlignmentFormats="0" applyWidthHeightFormats="0">
  <queryTableRefresh nextId="11">
    <queryTableFields count="10">
      <queryTableField id="1" name="timestamp" tableColumnId="1"/>
      <queryTableField id="2" name="loco_id" tableColumnId="2"/>
      <queryTableField id="3" name="flow_rate" tableColumnId="3"/>
      <queryTableField id="4" name="pressure" tableColumnId="4"/>
      <queryTableField id="5" name="vibration" tableColumnId="5"/>
      <queryTableField id="6" name="temperature" tableColumnId="6"/>
      <queryTableField id="7" name="loco_id.1" tableColumnId="7"/>
      <queryTableField id="8" name="last_maintenance" tableColumnId="8"/>
      <queryTableField id="9" name="failure_type" tableColumnId="9"/>
      <queryTableField id="10" name="status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loco_id" xr10:uid="{98E5CF2D-A25A-4FFC-BADF-728614AFC4FB}" sourceName="loco_id">
  <pivotTables>
    <pivotTable tabId="3" name="Tableau croisé dynamique1"/>
  </pivotTables>
  <data>
    <tabular pivotCacheId="1971263981">
      <items count="3">
        <i x="0" s="1"/>
        <i x="1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tatus" xr10:uid="{11F11E72-0A81-4A3F-9216-A28C8C05BB30}" sourceName="status">
  <pivotTables>
    <pivotTable tabId="3" name="Tableau croisé dynamique1"/>
  </pivotTables>
  <data>
    <tabular pivotCacheId="1971263981">
      <items count="2"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co_id" xr10:uid="{A822DC1F-C32B-4FA0-A775-FB1B6432E44B}" cache="Segment_loco_id" caption="loco_id" rowHeight="247650"/>
  <slicer name="status" xr10:uid="{392623C8-C540-41AB-BC49-EDC4E9053737}" cache="Segment_status" caption="status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59670-F57C-4211-82A1-9AFF44ABE5F7}" name="Donnees_Fusionnees" displayName="Donnees_Fusionnees" ref="A2:J9" tableType="queryTable" totalsRowShown="0">
  <autoFilter ref="A2:J9" xr:uid="{33B59670-F57C-4211-82A1-9AFF44ABE5F7}"/>
  <tableColumns count="10">
    <tableColumn id="1" xr3:uid="{392001E0-508B-4F82-9ADD-7390A35A9A2C}" uniqueName="1" name="timestamp" queryTableFieldId="1" dataDxfId="6"/>
    <tableColumn id="2" xr3:uid="{09CA3E73-1EEA-4A39-ACCF-1C851E1D19EC}" uniqueName="2" name="loco_id" queryTableFieldId="2" dataDxfId="5"/>
    <tableColumn id="3" xr3:uid="{27DBC340-62F6-4FAF-B269-9CEBD8ABC0B0}" uniqueName="3" name="flow_rate" queryTableFieldId="3"/>
    <tableColumn id="4" xr3:uid="{08B803AB-C228-44D7-83A8-F9717DB47192}" uniqueName="4" name="pressure" queryTableFieldId="4"/>
    <tableColumn id="5" xr3:uid="{FEC79E35-2B65-491F-A2E2-3DFAD51AA30C}" uniqueName="5" name="vibration" queryTableFieldId="5"/>
    <tableColumn id="6" xr3:uid="{CB07D8EA-D336-44B0-9351-709296E11930}" uniqueName="6" name="temperature" queryTableFieldId="6"/>
    <tableColumn id="7" xr3:uid="{4A1689E0-C8AE-4458-B28F-6AE76FD33759}" uniqueName="7" name="loco_id.1" queryTableFieldId="7" dataDxfId="4"/>
    <tableColumn id="8" xr3:uid="{83D6C262-7731-4D6B-B725-13435BC048B5}" uniqueName="8" name="last_maintenance" queryTableFieldId="8" dataDxfId="3"/>
    <tableColumn id="9" xr3:uid="{2A9BB90B-BE5A-4E4D-83C6-0FF486A75597}" uniqueName="9" name="failure_type" queryTableFieldId="9" dataDxfId="2"/>
    <tableColumn id="10" xr3:uid="{CDFCA985-0F75-4C48-9948-7A59972664A9}" uniqueName="10" name="status" queryTableFieldId="10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9EA7-4DA5-44ED-921B-D50F6787AD83}">
  <dimension ref="A1:H8"/>
  <sheetViews>
    <sheetView showGridLines="0" workbookViewId="0">
      <selection activeCell="L18" sqref="L18"/>
    </sheetView>
  </sheetViews>
  <sheetFormatPr baseColWidth="10" defaultRowHeight="14.4" x14ac:dyDescent="0.3"/>
  <cols>
    <col min="1" max="1" width="19.88671875" bestFit="1" customWidth="1"/>
    <col min="2" max="2" width="21.33203125" bestFit="1" customWidth="1"/>
    <col min="3" max="3" width="9.5546875" bestFit="1" customWidth="1"/>
    <col min="4" max="5" width="11.21875" bestFit="1" customWidth="1"/>
  </cols>
  <sheetData>
    <row r="1" spans="1:8" ht="18" x14ac:dyDescent="0.35">
      <c r="A1" s="23" t="s">
        <v>22</v>
      </c>
      <c r="B1" s="22"/>
      <c r="C1" s="22"/>
      <c r="D1" s="22"/>
      <c r="E1" s="22"/>
      <c r="F1" s="22"/>
      <c r="G1" s="22"/>
      <c r="H1" s="22"/>
    </row>
    <row r="3" spans="1:8" x14ac:dyDescent="0.3">
      <c r="A3" s="7" t="s">
        <v>21</v>
      </c>
      <c r="B3" s="7" t="s">
        <v>18</v>
      </c>
      <c r="C3" s="5"/>
      <c r="D3" s="6"/>
    </row>
    <row r="4" spans="1:8" x14ac:dyDescent="0.3">
      <c r="A4" s="7" t="s">
        <v>20</v>
      </c>
      <c r="B4" s="4" t="s">
        <v>10</v>
      </c>
      <c r="C4" s="8" t="s">
        <v>13</v>
      </c>
      <c r="D4" s="9" t="s">
        <v>19</v>
      </c>
    </row>
    <row r="5" spans="1:8" x14ac:dyDescent="0.3">
      <c r="A5" s="10">
        <v>46075.333333333336</v>
      </c>
      <c r="B5" s="13">
        <v>45.2</v>
      </c>
      <c r="C5" s="14">
        <v>44.1</v>
      </c>
      <c r="D5" s="15">
        <v>89.300000000000011</v>
      </c>
    </row>
    <row r="6" spans="1:8" x14ac:dyDescent="0.3">
      <c r="A6" s="11">
        <v>46075.34375</v>
      </c>
      <c r="B6" s="16">
        <v>45.5</v>
      </c>
      <c r="C6" s="17">
        <v>44.3</v>
      </c>
      <c r="D6" s="18">
        <v>89.8</v>
      </c>
    </row>
    <row r="7" spans="1:8" x14ac:dyDescent="0.3">
      <c r="A7" s="11">
        <v>46075.354166666664</v>
      </c>
      <c r="B7" s="16">
        <v>65.8</v>
      </c>
      <c r="C7" s="17">
        <v>44</v>
      </c>
      <c r="D7" s="18">
        <v>109.8</v>
      </c>
    </row>
    <row r="8" spans="1:8" x14ac:dyDescent="0.3">
      <c r="A8" s="12" t="s">
        <v>19</v>
      </c>
      <c r="B8" s="19">
        <v>156.5</v>
      </c>
      <c r="C8" s="20">
        <v>132.4</v>
      </c>
      <c r="D8" s="21">
        <v>288.90000000000003</v>
      </c>
    </row>
  </sheetData>
  <mergeCells count="1">
    <mergeCell ref="A1:H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34FF-B7F4-4082-86CE-D72B40BF4085}">
  <dimension ref="A1:J9"/>
  <sheetViews>
    <sheetView showGridLines="0" tabSelected="1" workbookViewId="0">
      <selection activeCell="M17" sqref="M17"/>
    </sheetView>
  </sheetViews>
  <sheetFormatPr baseColWidth="10" defaultRowHeight="14.4" x14ac:dyDescent="0.3"/>
  <cols>
    <col min="1" max="1" width="15.21875" bestFit="1" customWidth="1"/>
    <col min="2" max="2" width="9.5546875" bestFit="1" customWidth="1"/>
    <col min="3" max="3" width="10.5546875" bestFit="1" customWidth="1"/>
    <col min="4" max="4" width="10.33203125" bestFit="1" customWidth="1"/>
    <col min="5" max="5" width="10.109375" bestFit="1" customWidth="1"/>
    <col min="6" max="6" width="13.21875" bestFit="1" customWidth="1"/>
    <col min="7" max="7" width="10.44140625" bestFit="1" customWidth="1"/>
    <col min="8" max="8" width="17.44140625" bestFit="1" customWidth="1"/>
    <col min="9" max="9" width="12.77734375" bestFit="1" customWidth="1"/>
    <col min="10" max="10" width="11.44140625" bestFit="1" customWidth="1"/>
  </cols>
  <sheetData>
    <row r="1" spans="1:10" ht="21" x14ac:dyDescent="0.4">
      <c r="A1" s="24" t="s">
        <v>23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">
      <c r="A3" s="1">
        <v>46075.333333333336</v>
      </c>
      <c r="B3" s="2" t="s">
        <v>10</v>
      </c>
      <c r="C3">
        <v>498.5</v>
      </c>
      <c r="D3">
        <v>5.0999999999999996</v>
      </c>
      <c r="E3">
        <v>2</v>
      </c>
      <c r="F3">
        <v>45.2</v>
      </c>
      <c r="G3" s="2" t="s">
        <v>10</v>
      </c>
      <c r="H3" s="3">
        <v>46037</v>
      </c>
      <c r="I3" s="2" t="s">
        <v>11</v>
      </c>
      <c r="J3" s="2" t="s">
        <v>12</v>
      </c>
    </row>
    <row r="4" spans="1:10" x14ac:dyDescent="0.3">
      <c r="A4" s="1">
        <v>46075.34375</v>
      </c>
      <c r="B4" s="2" t="s">
        <v>10</v>
      </c>
      <c r="C4">
        <v>499</v>
      </c>
      <c r="D4">
        <v>5</v>
      </c>
      <c r="E4">
        <v>2.1</v>
      </c>
      <c r="F4">
        <v>45.5</v>
      </c>
      <c r="G4" s="2" t="s">
        <v>10</v>
      </c>
      <c r="H4" s="3">
        <v>46037</v>
      </c>
      <c r="I4" s="2" t="s">
        <v>11</v>
      </c>
      <c r="J4" s="2" t="s">
        <v>12</v>
      </c>
    </row>
    <row r="5" spans="1:10" x14ac:dyDescent="0.3">
      <c r="A5" s="1">
        <v>46075.354166666664</v>
      </c>
      <c r="B5" s="2" t="s">
        <v>10</v>
      </c>
      <c r="C5">
        <v>400.2</v>
      </c>
      <c r="D5">
        <v>3.2</v>
      </c>
      <c r="E5">
        <v>5.5</v>
      </c>
      <c r="F5">
        <v>65.8</v>
      </c>
      <c r="G5" s="2" t="s">
        <v>10</v>
      </c>
      <c r="H5" s="3">
        <v>46037</v>
      </c>
      <c r="I5" s="2" t="s">
        <v>11</v>
      </c>
      <c r="J5" s="2" t="s">
        <v>12</v>
      </c>
    </row>
    <row r="6" spans="1:10" x14ac:dyDescent="0.3">
      <c r="A6" s="1">
        <v>46075.333333333336</v>
      </c>
      <c r="B6" s="2" t="s">
        <v>13</v>
      </c>
      <c r="C6">
        <v>510.4</v>
      </c>
      <c r="D6">
        <v>5.2</v>
      </c>
      <c r="E6">
        <v>1.9</v>
      </c>
      <c r="F6">
        <v>44.1</v>
      </c>
      <c r="G6" s="2" t="s">
        <v>13</v>
      </c>
      <c r="H6" s="3">
        <v>45981</v>
      </c>
      <c r="I6" s="2" t="s">
        <v>14</v>
      </c>
      <c r="J6" s="2" t="s">
        <v>12</v>
      </c>
    </row>
    <row r="7" spans="1:10" x14ac:dyDescent="0.3">
      <c r="A7" s="1">
        <v>46075.34375</v>
      </c>
      <c r="B7" s="2" t="s">
        <v>13</v>
      </c>
      <c r="C7">
        <v>512.1</v>
      </c>
      <c r="D7">
        <v>5.2</v>
      </c>
      <c r="E7">
        <v>1.9</v>
      </c>
      <c r="F7">
        <v>44.3</v>
      </c>
      <c r="G7" s="2" t="s">
        <v>13</v>
      </c>
      <c r="H7" s="3">
        <v>45981</v>
      </c>
      <c r="I7" s="2" t="s">
        <v>14</v>
      </c>
      <c r="J7" s="2" t="s">
        <v>12</v>
      </c>
    </row>
    <row r="8" spans="1:10" x14ac:dyDescent="0.3">
      <c r="A8" s="1">
        <v>46075.354166666664</v>
      </c>
      <c r="B8" s="2" t="s">
        <v>13</v>
      </c>
      <c r="C8">
        <v>509.8</v>
      </c>
      <c r="D8">
        <v>5.0999999999999996</v>
      </c>
      <c r="E8">
        <v>2</v>
      </c>
      <c r="F8">
        <v>44</v>
      </c>
      <c r="G8" s="2" t="s">
        <v>13</v>
      </c>
      <c r="H8" s="3">
        <v>45981</v>
      </c>
      <c r="I8" s="2" t="s">
        <v>14</v>
      </c>
      <c r="J8" s="2" t="s">
        <v>12</v>
      </c>
    </row>
    <row r="9" spans="1:10" x14ac:dyDescent="0.3">
      <c r="A9" s="1">
        <v>46075.333333333336</v>
      </c>
      <c r="B9" s="2" t="s">
        <v>15</v>
      </c>
      <c r="C9">
        <v>485.6</v>
      </c>
      <c r="D9">
        <v>4.9000000000000004</v>
      </c>
      <c r="E9">
        <v>2.2000000000000002</v>
      </c>
      <c r="F9">
        <v>46.1</v>
      </c>
      <c r="G9" s="2" t="s">
        <v>15</v>
      </c>
      <c r="H9" s="3">
        <v>46063</v>
      </c>
      <c r="I9" s="2" t="s">
        <v>16</v>
      </c>
      <c r="J9" s="2" t="s">
        <v>17</v>
      </c>
    </row>
  </sheetData>
  <mergeCells count="1">
    <mergeCell ref="A1:J1"/>
  </mergeCells>
  <conditionalFormatting sqref="F3:F9">
    <cfRule type="cellIs" dxfId="0" priority="1" operator="greaterThan">
      <formula>50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9BAC28-247A-486D-9AD9-46DAF19570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Dashboard_Maintenance</vt:lpstr>
      <vt:lpstr>Donnees_Fusionnees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KAMENI TCHOUATCHEU Gaetan brunel</dc:creator>
  <cp:lastModifiedBy>KAMENI TCHOUATCHEU Gaetan brunel</cp:lastModifiedBy>
  <dcterms:created xsi:type="dcterms:W3CDTF">2026-02-27T07:44:42Z</dcterms:created>
  <dcterms:modified xsi:type="dcterms:W3CDTF">2026-02-27T09:33:44Z</dcterms:modified>
</cp:coreProperties>
</file>